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ndroid-chess\android-chess\tools\chessable_export\"/>
    </mc:Choice>
  </mc:AlternateContent>
  <xr:revisionPtr revIDLastSave="0" documentId="13_ncr:1_{53DE06AB-C905-4D81-9DB2-4B715D000E6A}" xr6:coauthVersionLast="47" xr6:coauthVersionMax="47" xr10:uidLastSave="{00000000-0000-0000-0000-000000000000}"/>
  <bookViews>
    <workbookView xWindow="-28920" yWindow="-120" windowWidth="29040" windowHeight="15720" xr2:uid="{AD725446-278E-440F-9B8E-E1228A467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1" l="1"/>
  <c r="D22" i="1"/>
  <c r="G21" i="1"/>
  <c r="F21" i="1"/>
  <c r="F20" i="1"/>
  <c r="F19" i="1"/>
  <c r="G19" i="1" s="1"/>
  <c r="F16" i="1"/>
  <c r="G16" i="1" s="1"/>
  <c r="C14" i="1"/>
  <c r="C22" i="1" s="1"/>
  <c r="G13" i="1"/>
  <c r="F12" i="1"/>
  <c r="G12" i="1" s="1"/>
  <c r="F14" i="1" l="1"/>
  <c r="F22" i="1" l="1"/>
  <c r="G14" i="1"/>
</calcChain>
</file>

<file path=xl/sharedStrings.xml><?xml version="1.0" encoding="utf-8"?>
<sst xmlns="http://schemas.openxmlformats.org/spreadsheetml/2006/main" count="52" uniqueCount="51">
  <si>
    <t>BACK</t>
  </si>
  <si>
    <t>Lấy dữ liệu từ các table</t>
  </si>
  <si>
    <t>Khách hàng tham gia sự kiện</t>
  </si>
  <si>
    <t>Điều kiện:</t>
  </si>
  <si>
    <t>Từ ngày</t>
  </si>
  <si>
    <t>Đến ngày</t>
  </si>
  <si>
    <t>Sự kiện: Cho chọn 1 hoặc nhiều dự án có trạng thái Đang hoạt động</t>
  </si>
  <si>
    <t>Dựa vào Từ ngày, Đến ngày và Thời gian bắt đầu hệ thống tự động load sự kiện thỏa điều kiện</t>
  </si>
  <si>
    <t>STT</t>
  </si>
  <si>
    <t>Sàn Kinh Doanh</t>
  </si>
  <si>
    <t>Số lượng đăng ký</t>
  </si>
  <si>
    <t>Số lượng Check-in (Có đăng ký)</t>
  </si>
  <si>
    <t>Số lượng Check-in (Không đăng ký)</t>
  </si>
  <si>
    <t>Đã check-in</t>
  </si>
  <si>
    <t>Tỷ lệ check-in</t>
  </si>
  <si>
    <t>Đếm số lượng Khách hàng tham gia sự kiện theo sự kiện được chọn</t>
  </si>
  <si>
    <t>Đếm số lượng Khách hàng tham gia sự kiện theo sự kiện được chọn có Check-in = Yes</t>
  </si>
  <si>
    <t>Đã Check in/Số lượng đăng ký</t>
  </si>
  <si>
    <t>Cộng Hòa</t>
  </si>
  <si>
    <t>Group by theo Sàn (Nhân viên Custom)</t>
  </si>
  <si>
    <t>Phòng Kinh doanh 01 - CH</t>
  </si>
  <si>
    <t>Group by theo Phòng ((Nhân viên Custom)</t>
  </si>
  <si>
    <t>Phòng Kinh doanh 02 - CH</t>
  </si>
  <si>
    <t>…</t>
  </si>
  <si>
    <t>Điện Biên Phủ</t>
  </si>
  <si>
    <t>Phòng Kinh doanh 01 - ĐBP</t>
  </si>
  <si>
    <t>Phòng Kinh doanh 02 - ĐBP</t>
  </si>
  <si>
    <t>KOG</t>
  </si>
  <si>
    <t>….</t>
  </si>
  <si>
    <t>Khác</t>
  </si>
  <si>
    <t>Không có thông tin sàn</t>
  </si>
  <si>
    <t>Tổng:</t>
  </si>
  <si>
    <t>Thông tin Khách hàng</t>
  </si>
  <si>
    <t>Lấy thông tin từ entity Khách hàng tham gia sự kiện</t>
  </si>
  <si>
    <t>Số CCCD</t>
  </si>
  <si>
    <t>Tên Khách hàng</t>
  </si>
  <si>
    <t>Đã Check-in</t>
  </si>
  <si>
    <t>Thời gian đăng ký</t>
  </si>
  <si>
    <t>Thời gian Check-in</t>
  </si>
  <si>
    <t>Nhân viên</t>
  </si>
  <si>
    <t>Phòng</t>
  </si>
  <si>
    <t>Sàn</t>
  </si>
  <si>
    <t>kog_socccd</t>
  </si>
  <si>
    <t>kog_tenkhachhang</t>
  </si>
  <si>
    <t>kog_checkin</t>
  </si>
  <si>
    <t>createdon</t>
  </si>
  <si>
    <t>kog_thoigiancheckin</t>
  </si>
  <si>
    <t>kog_nhanvienkinhdoanh</t>
  </si>
  <si>
    <t>kog_san (Nhân viên Custom)</t>
  </si>
  <si>
    <t>kog_phongkd (Nhân viên Custom)</t>
  </si>
  <si>
    <t>Quyền: GD SÀN, dvkh-HẬU MÃI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</si>
</sst>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u/>
      <sz val="11"/>
      <color theme="10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0" fontId="0" fillId="0" borderId="1" xfId="0" applyNumberFormat="1" applyBorder="1" applyAlignment="1">
      <alignment horizontal="left" vertical="top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9173-144E-4B89-A3FA-4707F4245605}">
  <dimension ref="A1:K37"/>
  <sheetViews>
    <sheetView tabSelected="1" workbookViewId="0">
      <selection activeCell="C2" sqref="C2"/>
    </sheetView>
  </sheetViews>
  <sheetFormatPr defaultRowHeight="15" x14ac:dyDescent="0.25"/>
  <cols>
    <col min="2" max="2" width="26.28515625" customWidth="1"/>
    <col min="3" max="3" width="25.85546875" customWidth="1"/>
    <col min="4" max="4" width="29.28515625" hidden="1" customWidth="1"/>
    <col min="5" max="5" width="32.7109375" hidden="1" customWidth="1"/>
    <col min="6" max="6" width="20.28515625" customWidth="1"/>
    <col min="7" max="7" width="28.140625" customWidth="1"/>
    <col min="8" max="8" width="19" customWidth="1"/>
    <col min="9" max="9" width="20.7109375" bestFit="1" customWidth="1"/>
    <col min="10" max="10" width="24.7109375" bestFit="1" customWidth="1"/>
    <col min="11" max="11" width="29.140625" bestFit="1" customWidth="1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3" t="s">
        <v>2</v>
      </c>
    </row>
    <row r="4" spans="1:8" x14ac:dyDescent="0.25">
      <c r="A4" s="2" t="s">
        <v>50</v>
      </c>
    </row>
    <row r="5" spans="1:8" x14ac:dyDescent="0.25">
      <c r="A5" s="2" t="s">
        <v>3</v>
      </c>
    </row>
    <row r="6" spans="1:8" x14ac:dyDescent="0.25">
      <c r="A6" t="s">
        <v>4</v>
      </c>
      <c r="C6" t="s">
        <v>5</v>
      </c>
    </row>
    <row r="7" spans="1:8" x14ac:dyDescent="0.25">
      <c r="A7" t="s">
        <v>6</v>
      </c>
    </row>
    <row r="8" spans="1:8" x14ac:dyDescent="0.25">
      <c r="A8" t="s">
        <v>7</v>
      </c>
    </row>
    <row r="10" spans="1:8" x14ac:dyDescent="0.2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</row>
    <row r="11" spans="1:8" ht="75" x14ac:dyDescent="0.25">
      <c r="A11" s="5"/>
      <c r="B11" s="5"/>
      <c r="C11" s="6" t="s">
        <v>15</v>
      </c>
      <c r="D11" s="5"/>
      <c r="E11" s="5"/>
      <c r="F11" s="6" t="s">
        <v>16</v>
      </c>
      <c r="G11" s="6" t="s">
        <v>17</v>
      </c>
      <c r="H11" s="7"/>
    </row>
    <row r="12" spans="1:8" x14ac:dyDescent="0.25">
      <c r="A12" s="8">
        <v>1</v>
      </c>
      <c r="B12" s="8" t="s">
        <v>18</v>
      </c>
      <c r="C12" s="8">
        <v>110</v>
      </c>
      <c r="D12" s="8">
        <v>90</v>
      </c>
      <c r="E12" s="8">
        <v>5</v>
      </c>
      <c r="F12" s="8">
        <f>E12+D12</f>
        <v>95</v>
      </c>
      <c r="G12" s="9">
        <f>(F12/C12)*100%</f>
        <v>0.86363636363636365</v>
      </c>
      <c r="H12" s="7" t="s">
        <v>19</v>
      </c>
    </row>
    <row r="13" spans="1:8" x14ac:dyDescent="0.25">
      <c r="A13" s="8">
        <v>2</v>
      </c>
      <c r="B13" s="8" t="s">
        <v>20</v>
      </c>
      <c r="C13" s="8">
        <v>45</v>
      </c>
      <c r="D13" s="8"/>
      <c r="E13" s="8"/>
      <c r="F13" s="8">
        <v>23</v>
      </c>
      <c r="G13" s="9">
        <f t="shared" ref="G13:G21" si="0">(F13/C13)*100%</f>
        <v>0.51111111111111107</v>
      </c>
      <c r="H13" s="7" t="s">
        <v>21</v>
      </c>
    </row>
    <row r="14" spans="1:8" x14ac:dyDescent="0.25">
      <c r="A14" s="8">
        <v>3</v>
      </c>
      <c r="B14" s="8" t="s">
        <v>22</v>
      </c>
      <c r="C14" s="8">
        <f>C12-C13</f>
        <v>65</v>
      </c>
      <c r="D14" s="8"/>
      <c r="E14" s="8"/>
      <c r="F14" s="8">
        <f>F12-F13</f>
        <v>72</v>
      </c>
      <c r="G14" s="9">
        <f t="shared" si="0"/>
        <v>1.1076923076923078</v>
      </c>
      <c r="H14" s="7"/>
    </row>
    <row r="15" spans="1:8" x14ac:dyDescent="0.25">
      <c r="A15" s="8">
        <v>4</v>
      </c>
      <c r="B15" s="8" t="s">
        <v>23</v>
      </c>
      <c r="C15" s="8"/>
      <c r="D15" s="8"/>
      <c r="E15" s="8"/>
      <c r="F15" s="8"/>
      <c r="G15" s="9"/>
      <c r="H15" s="7"/>
    </row>
    <row r="16" spans="1:8" x14ac:dyDescent="0.25">
      <c r="A16" s="8">
        <v>5</v>
      </c>
      <c r="B16" s="8" t="s">
        <v>24</v>
      </c>
      <c r="C16" s="8">
        <v>150</v>
      </c>
      <c r="D16" s="8">
        <v>120</v>
      </c>
      <c r="E16" s="8">
        <v>4</v>
      </c>
      <c r="F16" s="8">
        <f t="shared" ref="F16:F21" si="1">E16+D16</f>
        <v>124</v>
      </c>
      <c r="G16" s="9">
        <f t="shared" si="0"/>
        <v>0.82666666666666666</v>
      </c>
      <c r="H16" s="7"/>
    </row>
    <row r="17" spans="1:11" x14ac:dyDescent="0.25">
      <c r="A17" s="8">
        <v>6</v>
      </c>
      <c r="B17" s="8" t="s">
        <v>25</v>
      </c>
      <c r="C17" s="8"/>
      <c r="D17" s="8"/>
      <c r="E17" s="8"/>
      <c r="F17" s="8"/>
      <c r="G17" s="9"/>
      <c r="H17" s="7"/>
    </row>
    <row r="18" spans="1:11" x14ac:dyDescent="0.25">
      <c r="A18" s="8">
        <v>7</v>
      </c>
      <c r="B18" s="8" t="s">
        <v>26</v>
      </c>
      <c r="C18" s="8"/>
      <c r="D18" s="8"/>
      <c r="E18" s="8"/>
      <c r="F18" s="8"/>
      <c r="G18" s="9"/>
      <c r="H18" s="7"/>
    </row>
    <row r="19" spans="1:11" x14ac:dyDescent="0.25">
      <c r="A19" s="8">
        <v>8</v>
      </c>
      <c r="B19" s="8" t="s">
        <v>27</v>
      </c>
      <c r="C19" s="8">
        <v>10</v>
      </c>
      <c r="D19" s="8">
        <v>6</v>
      </c>
      <c r="E19" s="8">
        <v>0</v>
      </c>
      <c r="F19" s="8">
        <f t="shared" si="1"/>
        <v>6</v>
      </c>
      <c r="G19" s="9">
        <f t="shared" si="0"/>
        <v>0.6</v>
      </c>
      <c r="H19" s="7"/>
    </row>
    <row r="20" spans="1:11" x14ac:dyDescent="0.25">
      <c r="A20" s="8">
        <v>9</v>
      </c>
      <c r="B20" s="8" t="s">
        <v>28</v>
      </c>
      <c r="C20" s="8"/>
      <c r="D20" s="8"/>
      <c r="E20" s="8">
        <v>0</v>
      </c>
      <c r="F20" s="8">
        <f t="shared" si="1"/>
        <v>0</v>
      </c>
      <c r="G20" s="9"/>
      <c r="H20" s="7"/>
    </row>
    <row r="21" spans="1:11" x14ac:dyDescent="0.25">
      <c r="A21" s="8">
        <v>10</v>
      </c>
      <c r="B21" s="8" t="s">
        <v>29</v>
      </c>
      <c r="C21" s="8">
        <v>1</v>
      </c>
      <c r="D21" s="8">
        <v>1</v>
      </c>
      <c r="E21" s="8">
        <v>0</v>
      </c>
      <c r="F21" s="8">
        <f t="shared" si="1"/>
        <v>1</v>
      </c>
      <c r="G21" s="9">
        <f t="shared" si="0"/>
        <v>1</v>
      </c>
      <c r="H21" s="7" t="s">
        <v>30</v>
      </c>
    </row>
    <row r="22" spans="1:11" x14ac:dyDescent="0.25">
      <c r="A22" s="13" t="s">
        <v>31</v>
      </c>
      <c r="B22" s="13"/>
      <c r="C22" s="5">
        <f>SUM(C12:C21)</f>
        <v>381</v>
      </c>
      <c r="D22" s="5">
        <f t="shared" ref="D22:F22" si="2">SUM(D12:D21)</f>
        <v>217</v>
      </c>
      <c r="E22" s="5">
        <f t="shared" si="2"/>
        <v>9</v>
      </c>
      <c r="F22" s="5">
        <f t="shared" si="2"/>
        <v>321</v>
      </c>
      <c r="G22" s="9"/>
      <c r="H22" s="7"/>
    </row>
    <row r="24" spans="1:11" x14ac:dyDescent="0.25">
      <c r="A24" s="2" t="s">
        <v>32</v>
      </c>
    </row>
    <row r="25" spans="1:11" x14ac:dyDescent="0.25">
      <c r="A25" s="10" t="s">
        <v>33</v>
      </c>
    </row>
    <row r="26" spans="1:11" x14ac:dyDescent="0.25">
      <c r="A26" s="2"/>
    </row>
    <row r="27" spans="1:11" x14ac:dyDescent="0.25">
      <c r="A27" s="4" t="s">
        <v>8</v>
      </c>
      <c r="B27" s="4" t="s">
        <v>34</v>
      </c>
      <c r="C27" s="4" t="s">
        <v>35</v>
      </c>
      <c r="D27" s="4"/>
      <c r="E27" s="4"/>
      <c r="F27" s="4" t="s">
        <v>36</v>
      </c>
      <c r="G27" s="4" t="s">
        <v>37</v>
      </c>
      <c r="H27" s="4" t="s">
        <v>38</v>
      </c>
      <c r="I27" s="4" t="s">
        <v>39</v>
      </c>
      <c r="J27" s="4" t="s">
        <v>40</v>
      </c>
      <c r="K27" s="4" t="s">
        <v>41</v>
      </c>
    </row>
    <row r="28" spans="1:11" x14ac:dyDescent="0.25">
      <c r="A28" s="11">
        <v>1</v>
      </c>
      <c r="B28" s="12" t="s">
        <v>42</v>
      </c>
      <c r="C28" s="12" t="s">
        <v>43</v>
      </c>
      <c r="D28" s="12"/>
      <c r="E28" s="12"/>
      <c r="F28" s="12" t="s">
        <v>44</v>
      </c>
      <c r="G28" s="12" t="s">
        <v>45</v>
      </c>
      <c r="H28" s="12" t="s">
        <v>46</v>
      </c>
      <c r="I28" s="12" t="s">
        <v>47</v>
      </c>
      <c r="J28" s="12" t="s">
        <v>48</v>
      </c>
      <c r="K28" s="12" t="s">
        <v>49</v>
      </c>
    </row>
    <row r="29" spans="1:1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</sheetData>
  <mergeCells count="1">
    <mergeCell ref="A22:B22"/>
  </mergeCells>
  <hyperlinks>
    <hyperlink ref="A1" location="'Danh sách'!A1" display="BACK" xr:uid="{BC7C3696-0229-4431-8FBB-8ECDBEA132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Lai</dc:creator>
  <cp:lastModifiedBy>Trần Hoàng Anh Tuấn</cp:lastModifiedBy>
  <dcterms:created xsi:type="dcterms:W3CDTF">2026-04-14T10:03:50Z</dcterms:created>
  <dcterms:modified xsi:type="dcterms:W3CDTF">2026-04-15T04:29:11Z</dcterms:modified>
</cp:coreProperties>
</file>